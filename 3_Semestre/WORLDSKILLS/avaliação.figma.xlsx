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Worldskill\Documents\"/>
    </mc:Choice>
  </mc:AlternateContent>
  <xr:revisionPtr revIDLastSave="0" documentId="13_ncr:1_{7D827DF7-852F-4659-A489-67E42F471AC7}" xr6:coauthVersionLast="47" xr6:coauthVersionMax="47" xr10:uidLastSave="{00000000-0000-0000-0000-000000000000}"/>
  <bookViews>
    <workbookView xWindow="-108" yWindow="-108" windowWidth="23256" windowHeight="12456" xr2:uid="{C0877AE2-38C8-49D6-BA3F-8CE1FD15DE61}"/>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05" i="1" l="1"/>
  <c r="D103" i="1"/>
  <c r="D98" i="1"/>
  <c r="D80" i="1"/>
  <c r="D93" i="1"/>
  <c r="D60" i="1"/>
  <c r="D79" i="1"/>
  <c r="D59" i="1"/>
  <c r="D45" i="1"/>
  <c r="D44" i="1"/>
  <c r="D30" i="1"/>
  <c r="D29" i="1"/>
  <c r="D19" i="1"/>
  <c r="D7" i="1"/>
  <c r="C105" i="1"/>
  <c r="C103" i="1"/>
  <c r="B105" i="1"/>
  <c r="C98" i="1"/>
  <c r="C93" i="1"/>
  <c r="C79" i="1"/>
  <c r="C60" i="1"/>
  <c r="C59" i="1"/>
  <c r="C45" i="1"/>
  <c r="C44" i="1"/>
  <c r="C30" i="1"/>
  <c r="C29" i="1"/>
  <c r="C19" i="1"/>
  <c r="C7" i="1"/>
  <c r="B103" i="1"/>
  <c r="E29" i="1"/>
  <c r="E105" i="1"/>
  <c r="E79" i="1"/>
  <c r="E93" i="1"/>
  <c r="E103" i="1"/>
  <c r="E98" i="1"/>
  <c r="E80" i="1"/>
  <c r="E60" i="1"/>
  <c r="B60" i="1"/>
  <c r="B79" i="1"/>
  <c r="E44" i="1"/>
  <c r="E45" i="1"/>
  <c r="E59" i="1" s="1"/>
  <c r="B45" i="1"/>
  <c r="B59" i="1" s="1"/>
  <c r="E19" i="1"/>
  <c r="E7" i="1"/>
  <c r="B98" i="1"/>
  <c r="B80" i="1"/>
  <c r="B93" i="1" s="1"/>
  <c r="B30" i="1"/>
  <c r="B44" i="1" s="1"/>
  <c r="B7" i="1"/>
  <c r="B19" i="1"/>
  <c r="B29" i="1"/>
</calcChain>
</file>

<file path=xl/sharedStrings.xml><?xml version="1.0" encoding="utf-8"?>
<sst xmlns="http://schemas.openxmlformats.org/spreadsheetml/2006/main" count="100" uniqueCount="80">
  <si>
    <t>1. Logotipo;</t>
  </si>
  <si>
    <t>3. A Splash Screen deve ter uma duração de 5 segundos;</t>
  </si>
  <si>
    <t>4. O usuário deve ser redirecionado para a tela “Tutorial de Integração”.</t>
  </si>
  <si>
    <t>2. Você também deverá criar uma animação para o fundo da tela de acordo com a Guia de Estilos da marca</t>
  </si>
  <si>
    <t>1. O logotipo deve conter uma animação na qual começa com o logo aparecendo na tela, centralizado horizontalmente e verticalmente, com o aumento de opacidade;</t>
  </si>
  <si>
    <t>1. Imagens dos slides;</t>
  </si>
  <si>
    <t>2. Título dos slides (vide media-files);</t>
  </si>
  <si>
    <t>3. Texto dos slides (vide media-files);</t>
  </si>
  <si>
    <t>4. Dots do carrossel;</t>
  </si>
  <si>
    <t>5. Botões de “Pular”;</t>
  </si>
  <si>
    <t>6. Botão de “Logar”;</t>
  </si>
  <si>
    <t>1. Os elementos da tela devem aparecer, de forma encadeada, de baixo para cima;</t>
  </si>
  <si>
    <t>2. O carrossel deve ser funcional através do gesto swipe;</t>
  </si>
  <si>
    <t>3. Os dots devem ser destacados de acordo com o slide que está sendo exibido;</t>
  </si>
  <si>
    <t>4. Ao dar um tap nos botões “Pular” ou “Logar”, o usuário deverá ser redirecionado para a tela “Login”;</t>
  </si>
  <si>
    <t xml:space="preserve">5. Os elementos da tela devem desaparecer, de forma encadeada, de cima para baixo. </t>
  </si>
  <si>
    <t>Critérios</t>
  </si>
  <si>
    <t>Pontos</t>
  </si>
  <si>
    <t>Beatriz</t>
  </si>
  <si>
    <t>Gerbi</t>
  </si>
  <si>
    <t>Leadro</t>
  </si>
  <si>
    <t>3. Input com o placeholder “E-mail ou CPF”;</t>
  </si>
  <si>
    <t>4. Input com placeholder “Senha”;</t>
  </si>
  <si>
    <t>5. Botão “Entrar”;</t>
  </si>
  <si>
    <t>2. Deve haver uma simulação de entrada de dados com CPF + senha nos inputs;</t>
  </si>
  <si>
    <t>3. Deve haver uma simulação de entrada de dados com e-mail + senha nos inputs;</t>
  </si>
  <si>
    <t>1. Texto “Bem-vindo(a) à Gestão do RH da Case4You!”;</t>
  </si>
  <si>
    <t>4. Quando o usuário der um tap em “Entrar”, ele deve receber uma notificação do tipo toasty com o texto “Login realizado com sucesso!”;</t>
  </si>
  <si>
    <t>1. Barra lateral com:</t>
  </si>
  <si>
    <t>• Logotipo;</t>
  </si>
  <si>
    <t>• Itens de menu;</t>
  </si>
  <si>
    <t>2. Título;</t>
  </si>
  <si>
    <t>3. Foto;</t>
  </si>
  <si>
    <t>4. Card de colaboradores, com total de colaboradores(as): 87;</t>
  </si>
  <si>
    <t>5. Card de contratações, com contratações do último trimestre: Janeiro (5), Fevereiro (2), Março (1);</t>
  </si>
  <si>
    <t>6. Card de turnover, com turnover dos últimos 3 meses: Janeiro (3), Fevereiro (3), Março (2);</t>
  </si>
  <si>
    <t>2. Todos os gráficos devem apresentar animação percorrendo todos os números até o valor final;</t>
  </si>
  <si>
    <t>3. Ao dar um tap em “Colaboradores(as)” o usuário deverá ser redirecionado para a tela “Colaboradores(as)”;</t>
  </si>
  <si>
    <t>4. Ao dar um tap no card de satisfação, o usuário deverá ser redirecionado para a tela “Avaliações”;</t>
  </si>
  <si>
    <t>5. Os elementos da tela devem desaparecer, de forma encadeada, de cima para baixo.</t>
  </si>
  <si>
    <t>a. Logotipo;</t>
  </si>
  <si>
    <t>b. Itens de menu;</t>
  </si>
  <si>
    <t>4. Barra de busca com ícones de filtro e buscar;</t>
  </si>
  <si>
    <t>5. Botão “Cadastrar Colaborador(a)”;</t>
  </si>
  <si>
    <t>6. Texto “Lista de Colaboradores”;</t>
  </si>
  <si>
    <t>7. Cards de colaboradores com foto, nome, cargo, tempo na empresa, ícone de edição, ícone de remoção;</t>
  </si>
  <si>
    <t>3. Ao dar um tap no ícone de excluir, deve existir uma simulação de exclusão de um colaborador;</t>
  </si>
  <si>
    <t>4. Ao dar um tap em uma imagem a mesma deve aparecer maior em uma modal;</t>
  </si>
  <si>
    <t>3. Ícone de troca de tema;</t>
  </si>
  <si>
    <t>4. Foto;</t>
  </si>
  <si>
    <t>5. Input com placeholder “Nome Completo”;</t>
  </si>
  <si>
    <t>6. Input com placeholder “Rua ou Avenida”;</t>
  </si>
  <si>
    <t>7. Input com placeholder “Número”;</t>
  </si>
  <si>
    <t>8. Input com placeholder “Bairro”;</t>
  </si>
  <si>
    <t>9. Input com placeholder “CEP”;</t>
  </si>
  <si>
    <t>10. Input com placeholder “Cidade”;</t>
  </si>
  <si>
    <t>11. Input com placeholder “Estado”;</t>
  </si>
  <si>
    <t>12. Botão “Cadastrar”;</t>
  </si>
  <si>
    <t>2. Deve ser possível trocar entre Light e Dark Mode;</t>
  </si>
  <si>
    <t>3. Deve haver uma simulação de entrada de dados nos inputs;</t>
  </si>
  <si>
    <t>=</t>
  </si>
  <si>
    <t>4. Barra de busca com ícone de filtro e busca;</t>
  </si>
  <si>
    <t>5. Texto “Lista de Avaliações”;</t>
  </si>
  <si>
    <t>6. Tabela de avaliações;</t>
  </si>
  <si>
    <t>2. Deve existir uma simulação na qual o(a) gestor(a) deve conseguir realizar a busca sem a utilização</t>
  </si>
  <si>
    <t>de filtros;</t>
  </si>
  <si>
    <t xml:space="preserve">4. Os elementos da tela devem desaparecer, de forma encadeada, de cima para baixo. </t>
  </si>
  <si>
    <t>1. Todos os textos dos componentes devem ser exatamente iguais como são escritos neste Projeto Teste;</t>
  </si>
  <si>
    <t>2. O aplicativo deve seguir os padrões de acessibilidade entre os textos e os fundos dos componentes;</t>
  </si>
  <si>
    <t>3. Deve ser criada 1 tela extra com o objetivo de integrar as demais e a solução proposta para a empresa;</t>
  </si>
  <si>
    <t>4. Você deve seguir a guia de estilos abaixo para desenvolver o aplicativo e suas funcionalidades:</t>
  </si>
  <si>
    <t>1. Fez menos que o mínimo</t>
  </si>
  <si>
    <t>2. Fez o básico</t>
  </si>
  <si>
    <t>3. Fez o básico com perfeição</t>
  </si>
  <si>
    <t>4. Fez a mais do que foi pedido</t>
  </si>
  <si>
    <t>7. Card com satisfação dos colaboradores, com satisfação dos colaboradores dos últimos 3 meses: Janeiro (80%), Fevereiro (72%), Março (63%).</t>
  </si>
  <si>
    <t>2. Ao dar um tap no ícone de edição, o usuário deverá visualizar uma modal com os detalhes do colaborador com foto, nome, área de atuação e tempo na Case4You;</t>
  </si>
  <si>
    <t>4. Ao dar um tap em cadastrar uma mensagem do tipo toasty deve aparecer com o texto “Colaborador(a) cadastrado(a) com sucesso!”;</t>
  </si>
  <si>
    <t>3. Deve existir uma simulação na qual o(a) gestor(a) deve conseguir realizar a busca com a utilização de filtro ao dar um tap no ícone de filtro, após isto, deve aparecer uma modal para filtrar por Área de Atuação do colaborador, acompanhado de um botão escrito “Buscar Avaliação”;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</si>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</sst>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3" borderId="0" xfId="0" applyFill="1"/>
    <xf numFmtId="0" fontId="1" fillId="0" borderId="0" xfId="0" applyFont="1"/>
    <xf numFmtId="0" fontId="0" fillId="3" borderId="0" xfId="0" applyFill="1" applyAlignment="1">
      <alignment wrapText="1"/>
    </xf>
    <xf numFmtId="0" fontId="1" fillId="2" borderId="2" xfId="0" applyFont="1" applyFill="1" applyBorder="1"/>
    <xf numFmtId="0" fontId="0" fillId="2" borderId="3" xfId="0" applyFill="1" applyBorder="1"/>
    <xf numFmtId="0" fontId="0" fillId="2" borderId="4" xfId="0" applyFill="1" applyBorder="1"/>
    <xf numFmtId="0" fontId="0" fillId="2" borderId="1" xfId="0" applyFill="1" applyBorder="1"/>
    <xf numFmtId="0" fontId="1" fillId="0" borderId="2" xfId="0" applyFont="1" applyBorder="1"/>
    <xf numFmtId="0" fontId="0" fillId="0" borderId="2" xfId="0" applyBorder="1"/>
    <xf numFmtId="0" fontId="0" fillId="2" borderId="2" xfId="0" applyFill="1" applyBorder="1"/>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A9AB5-E689-4054-A58C-EF924DA291D7}">
  <dimension ref="A1:Z105"/>
  <sheetViews>
    <sheetView tabSelected="1" topLeftCell="A93" workbookViewId="0">
      <selection activeCell="E108" sqref="E108"/>
    </sheetView>
  </sheetViews>
  <sheetFormatPr defaultRowHeight="14.4" x14ac:dyDescent="0.3"/>
  <cols>
    <col min="1" max="1" width="79.5546875" customWidth="1"/>
  </cols>
  <sheetData>
    <row r="1" spans="1:5" x14ac:dyDescent="0.3">
      <c r="A1" s="3" t="s">
        <v>16</v>
      </c>
      <c r="B1" s="3" t="s">
        <v>17</v>
      </c>
      <c r="C1" t="s">
        <v>18</v>
      </c>
      <c r="D1" t="s">
        <v>19</v>
      </c>
      <c r="E1" t="s">
        <v>20</v>
      </c>
    </row>
    <row r="2" spans="1:5" x14ac:dyDescent="0.3">
      <c r="A2" t="s">
        <v>0</v>
      </c>
      <c r="B2">
        <v>0.16999999999999998</v>
      </c>
      <c r="C2">
        <v>0.17</v>
      </c>
      <c r="D2">
        <v>0.17</v>
      </c>
      <c r="E2">
        <v>0.17</v>
      </c>
    </row>
    <row r="3" spans="1:5" ht="28.8" x14ac:dyDescent="0.3">
      <c r="A3" s="1" t="s">
        <v>4</v>
      </c>
      <c r="B3">
        <v>0.16999999999999998</v>
      </c>
      <c r="C3">
        <v>0.17</v>
      </c>
      <c r="D3">
        <v>0</v>
      </c>
      <c r="E3">
        <v>0.17</v>
      </c>
    </row>
    <row r="4" spans="1:5" ht="28.8" x14ac:dyDescent="0.3">
      <c r="A4" s="1" t="s">
        <v>3</v>
      </c>
      <c r="B4">
        <v>0.16999999999999998</v>
      </c>
      <c r="C4">
        <v>0.17</v>
      </c>
      <c r="D4">
        <v>0</v>
      </c>
      <c r="E4">
        <v>0.17</v>
      </c>
    </row>
    <row r="5" spans="1:5" x14ac:dyDescent="0.3">
      <c r="A5" t="s">
        <v>1</v>
      </c>
      <c r="B5">
        <v>0.16999999999999998</v>
      </c>
      <c r="C5">
        <v>0.17</v>
      </c>
      <c r="D5">
        <v>0</v>
      </c>
      <c r="E5">
        <v>0.17</v>
      </c>
    </row>
    <row r="6" spans="1:5" x14ac:dyDescent="0.3">
      <c r="A6" t="s">
        <v>2</v>
      </c>
      <c r="B6">
        <v>0.16999999999999998</v>
      </c>
      <c r="C6">
        <v>0.17</v>
      </c>
      <c r="D6">
        <v>0</v>
      </c>
      <c r="E6">
        <v>0</v>
      </c>
    </row>
    <row r="7" spans="1:5" x14ac:dyDescent="0.3">
      <c r="A7" s="2"/>
      <c r="B7" s="5">
        <f>SUM(B2:B6)</f>
        <v>0.84999999999999987</v>
      </c>
      <c r="C7" s="6">
        <f>SUM(C2:C6)</f>
        <v>0.85000000000000009</v>
      </c>
      <c r="D7" s="6">
        <f>SUM(D2:D6)</f>
        <v>0.17</v>
      </c>
      <c r="E7" s="7">
        <f>SUM(E2:E6)</f>
        <v>0.68</v>
      </c>
    </row>
    <row r="8" spans="1:5" x14ac:dyDescent="0.3">
      <c r="A8" t="s">
        <v>5</v>
      </c>
      <c r="B8">
        <v>0.145454545454545</v>
      </c>
      <c r="C8">
        <v>0.145454545454545</v>
      </c>
      <c r="D8">
        <v>0.145454545454545</v>
      </c>
      <c r="E8">
        <v>0.145454545454545</v>
      </c>
    </row>
    <row r="9" spans="1:5" x14ac:dyDescent="0.3">
      <c r="A9" t="s">
        <v>6</v>
      </c>
      <c r="B9">
        <v>0.145454545454545</v>
      </c>
      <c r="C9">
        <v>0.145454545454545</v>
      </c>
      <c r="D9">
        <v>0.145454545454545</v>
      </c>
      <c r="E9">
        <v>0.145454545454545</v>
      </c>
    </row>
    <row r="10" spans="1:5" x14ac:dyDescent="0.3">
      <c r="A10" t="s">
        <v>7</v>
      </c>
      <c r="B10">
        <v>0.145454545454545</v>
      </c>
      <c r="C10">
        <v>0.145454545454545</v>
      </c>
      <c r="D10">
        <v>0.145454545454545</v>
      </c>
      <c r="E10">
        <v>0.145454545454545</v>
      </c>
    </row>
    <row r="11" spans="1:5" x14ac:dyDescent="0.3">
      <c r="A11" s="1" t="s">
        <v>8</v>
      </c>
      <c r="B11">
        <v>0.145454545454545</v>
      </c>
      <c r="C11">
        <v>0.145454545454545</v>
      </c>
      <c r="D11">
        <v>0</v>
      </c>
      <c r="E11">
        <v>0.145454545454545</v>
      </c>
    </row>
    <row r="12" spans="1:5" x14ac:dyDescent="0.3">
      <c r="A12" s="1" t="s">
        <v>9</v>
      </c>
      <c r="B12">
        <v>0.145454545454545</v>
      </c>
      <c r="C12">
        <v>0.145454545454545</v>
      </c>
      <c r="D12">
        <v>0.145454545454545</v>
      </c>
      <c r="E12">
        <v>0.145454545454545</v>
      </c>
    </row>
    <row r="13" spans="1:5" x14ac:dyDescent="0.3">
      <c r="A13" s="1" t="s">
        <v>10</v>
      </c>
      <c r="B13">
        <v>0.145454545454545</v>
      </c>
      <c r="C13">
        <v>0.145454545454545</v>
      </c>
      <c r="D13">
        <v>0.145454545454545</v>
      </c>
      <c r="E13">
        <v>0.145454545454545</v>
      </c>
    </row>
    <row r="14" spans="1:5" x14ac:dyDescent="0.3">
      <c r="A14" s="1" t="s">
        <v>11</v>
      </c>
      <c r="B14">
        <v>0.145454545454545</v>
      </c>
      <c r="C14">
        <v>0</v>
      </c>
      <c r="D14">
        <v>0</v>
      </c>
      <c r="E14">
        <v>0</v>
      </c>
    </row>
    <row r="15" spans="1:5" x14ac:dyDescent="0.3">
      <c r="A15" s="1" t="s">
        <v>12</v>
      </c>
      <c r="B15">
        <v>0.145454545454545</v>
      </c>
      <c r="C15">
        <v>0</v>
      </c>
      <c r="D15">
        <v>0</v>
      </c>
      <c r="E15">
        <v>0</v>
      </c>
    </row>
    <row r="16" spans="1:5" x14ac:dyDescent="0.3">
      <c r="A16" s="1" t="s">
        <v>13</v>
      </c>
      <c r="B16">
        <v>0.145454545454545</v>
      </c>
      <c r="C16">
        <v>0</v>
      </c>
      <c r="D16">
        <v>0</v>
      </c>
      <c r="E16">
        <v>0.145454545454545</v>
      </c>
    </row>
    <row r="17" spans="1:5" ht="28.8" x14ac:dyDescent="0.3">
      <c r="A17" s="1" t="s">
        <v>14</v>
      </c>
      <c r="B17">
        <v>0.145454545454545</v>
      </c>
      <c r="C17">
        <v>0</v>
      </c>
      <c r="D17">
        <v>0</v>
      </c>
      <c r="E17">
        <v>0</v>
      </c>
    </row>
    <row r="18" spans="1:5" x14ac:dyDescent="0.3">
      <c r="A18" s="1" t="s">
        <v>15</v>
      </c>
      <c r="B18">
        <v>0.145454545454545</v>
      </c>
      <c r="C18">
        <v>0</v>
      </c>
      <c r="D18">
        <v>0</v>
      </c>
      <c r="E18">
        <v>0</v>
      </c>
    </row>
    <row r="19" spans="1:5" x14ac:dyDescent="0.3">
      <c r="A19" s="4"/>
      <c r="B19" s="5">
        <f>SUM(B8:B18)</f>
        <v>1.5999999999999954</v>
      </c>
      <c r="C19" s="6">
        <f>SUM(C8:C18)</f>
        <v>0.87272727272727013</v>
      </c>
      <c r="D19" s="6">
        <f>SUM(D8:D18)</f>
        <v>0.72727272727272507</v>
      </c>
      <c r="E19" s="7">
        <f>SUM(E8:E18)</f>
        <v>1.0181818181818152</v>
      </c>
    </row>
    <row r="20" spans="1:5" x14ac:dyDescent="0.3">
      <c r="A20" s="1" t="s">
        <v>26</v>
      </c>
      <c r="B20">
        <v>0.105555555555555</v>
      </c>
      <c r="C20">
        <v>0.105555555555555</v>
      </c>
      <c r="D20">
        <v>0.105555555555555</v>
      </c>
      <c r="E20">
        <v>0.105555555555555</v>
      </c>
    </row>
    <row r="21" spans="1:5" x14ac:dyDescent="0.3">
      <c r="A21" s="1" t="s">
        <v>21</v>
      </c>
      <c r="B21">
        <v>0.105555555555555</v>
      </c>
      <c r="C21">
        <v>0.105555555555555</v>
      </c>
      <c r="D21">
        <v>0.105555555555555</v>
      </c>
      <c r="E21">
        <v>0.105555555555555</v>
      </c>
    </row>
    <row r="22" spans="1:5" x14ac:dyDescent="0.3">
      <c r="A22" s="1" t="s">
        <v>22</v>
      </c>
      <c r="B22">
        <v>0.105555555555555</v>
      </c>
      <c r="C22">
        <v>0.105555555555555</v>
      </c>
      <c r="D22">
        <v>0.105555555555555</v>
      </c>
      <c r="E22">
        <v>0.105555555555555</v>
      </c>
    </row>
    <row r="23" spans="1:5" x14ac:dyDescent="0.3">
      <c r="A23" s="1" t="s">
        <v>23</v>
      </c>
      <c r="B23">
        <v>0.105555555555555</v>
      </c>
      <c r="C23">
        <v>0.105555555555555</v>
      </c>
      <c r="D23">
        <v>0.105555555555555</v>
      </c>
      <c r="E23">
        <v>0.105555555555555</v>
      </c>
    </row>
    <row r="24" spans="1:5" x14ac:dyDescent="0.3">
      <c r="A24" s="1" t="s">
        <v>11</v>
      </c>
      <c r="B24">
        <v>0.105555555555555</v>
      </c>
      <c r="C24">
        <v>0</v>
      </c>
      <c r="D24">
        <v>0</v>
      </c>
      <c r="E24">
        <v>0</v>
      </c>
    </row>
    <row r="25" spans="1:5" x14ac:dyDescent="0.3">
      <c r="A25" s="1" t="s">
        <v>24</v>
      </c>
      <c r="B25">
        <v>0.105555555555555</v>
      </c>
      <c r="C25">
        <v>0</v>
      </c>
      <c r="D25">
        <v>0</v>
      </c>
      <c r="E25">
        <v>0</v>
      </c>
    </row>
    <row r="26" spans="1:5" x14ac:dyDescent="0.3">
      <c r="A26" s="1" t="s">
        <v>25</v>
      </c>
      <c r="B26">
        <v>0.105555555555555</v>
      </c>
      <c r="C26">
        <v>0</v>
      </c>
      <c r="D26">
        <v>0</v>
      </c>
      <c r="E26">
        <v>0</v>
      </c>
    </row>
    <row r="27" spans="1:5" ht="28.8" x14ac:dyDescent="0.3">
      <c r="A27" s="1" t="s">
        <v>27</v>
      </c>
      <c r="B27">
        <v>0.105555555555555</v>
      </c>
      <c r="C27">
        <v>0.105555555555555</v>
      </c>
      <c r="D27">
        <v>0</v>
      </c>
      <c r="E27">
        <v>0</v>
      </c>
    </row>
    <row r="28" spans="1:5" x14ac:dyDescent="0.3">
      <c r="A28" s="1" t="s">
        <v>15</v>
      </c>
      <c r="B28">
        <v>0.105555555555555</v>
      </c>
      <c r="C28">
        <v>0</v>
      </c>
      <c r="D28">
        <v>0</v>
      </c>
      <c r="E28">
        <v>0</v>
      </c>
    </row>
    <row r="29" spans="1:5" x14ac:dyDescent="0.3">
      <c r="A29" s="4"/>
      <c r="B29" s="9">
        <f>SUM(B20:B28)</f>
        <v>0.94999999999999485</v>
      </c>
      <c r="C29" s="6">
        <f>SUM(C20:C28)</f>
        <v>0.52777777777777501</v>
      </c>
      <c r="D29" s="8">
        <f>SUM(D20:D28)</f>
        <v>0.42222222222222</v>
      </c>
      <c r="E29" s="7">
        <f>SUM(E20:E28)</f>
        <v>0.42222222222222</v>
      </c>
    </row>
    <row r="30" spans="1:5" x14ac:dyDescent="0.3">
      <c r="A30" s="1" t="s">
        <v>28</v>
      </c>
      <c r="B30">
        <f>SUM(B31:B32)</f>
        <v>0.15</v>
      </c>
      <c r="C30">
        <f>SUM(C31:C32)</f>
        <v>0.15</v>
      </c>
      <c r="D30">
        <f>SUM(D31:D32)</f>
        <v>0.15</v>
      </c>
      <c r="E30">
        <v>0.15</v>
      </c>
    </row>
    <row r="31" spans="1:5" x14ac:dyDescent="0.3">
      <c r="A31" s="1" t="s">
        <v>29</v>
      </c>
      <c r="B31" s="1">
        <v>7.4999999999999997E-2</v>
      </c>
      <c r="C31">
        <v>7.4999999999999997E-2</v>
      </c>
      <c r="D31">
        <v>7.4999999999999997E-2</v>
      </c>
      <c r="E31">
        <v>7.4999999999999997E-2</v>
      </c>
    </row>
    <row r="32" spans="1:5" x14ac:dyDescent="0.3">
      <c r="A32" s="1" t="s">
        <v>30</v>
      </c>
      <c r="B32">
        <v>7.4999999999999997E-2</v>
      </c>
      <c r="C32">
        <v>7.4999999999999997E-2</v>
      </c>
      <c r="D32">
        <v>7.4999999999999997E-2</v>
      </c>
      <c r="E32">
        <v>7.4999999999999997E-2</v>
      </c>
    </row>
    <row r="33" spans="1:5" x14ac:dyDescent="0.3">
      <c r="A33" s="1" t="s">
        <v>31</v>
      </c>
      <c r="B33">
        <v>0.15</v>
      </c>
      <c r="C33">
        <v>0.15</v>
      </c>
      <c r="D33">
        <v>0.15</v>
      </c>
      <c r="E33">
        <v>0.15</v>
      </c>
    </row>
    <row r="34" spans="1:5" x14ac:dyDescent="0.3">
      <c r="A34" s="1" t="s">
        <v>32</v>
      </c>
      <c r="B34">
        <v>0.15</v>
      </c>
      <c r="C34">
        <v>0.15</v>
      </c>
      <c r="D34">
        <v>0.15</v>
      </c>
      <c r="E34">
        <v>0.15</v>
      </c>
    </row>
    <row r="35" spans="1:5" x14ac:dyDescent="0.3">
      <c r="A35" s="1" t="s">
        <v>33</v>
      </c>
      <c r="B35">
        <v>0.15</v>
      </c>
      <c r="C35">
        <v>0.15</v>
      </c>
      <c r="D35">
        <v>0</v>
      </c>
      <c r="E35">
        <v>0.15</v>
      </c>
    </row>
    <row r="36" spans="1:5" ht="28.8" x14ac:dyDescent="0.3">
      <c r="A36" s="1" t="s">
        <v>34</v>
      </c>
      <c r="B36">
        <v>0.15</v>
      </c>
      <c r="C36">
        <v>0</v>
      </c>
      <c r="D36">
        <v>0</v>
      </c>
      <c r="E36">
        <v>0.15</v>
      </c>
    </row>
    <row r="37" spans="1:5" x14ac:dyDescent="0.3">
      <c r="A37" s="1" t="s">
        <v>35</v>
      </c>
      <c r="B37">
        <v>0.15</v>
      </c>
      <c r="C37">
        <v>0</v>
      </c>
      <c r="D37">
        <v>0</v>
      </c>
      <c r="E37">
        <v>0.15</v>
      </c>
    </row>
    <row r="38" spans="1:5" ht="28.8" x14ac:dyDescent="0.3">
      <c r="A38" s="1" t="s">
        <v>75</v>
      </c>
      <c r="B38">
        <v>0.15</v>
      </c>
      <c r="C38">
        <v>0.15</v>
      </c>
      <c r="D38">
        <v>0</v>
      </c>
      <c r="E38">
        <v>0.15</v>
      </c>
    </row>
    <row r="39" spans="1:5" x14ac:dyDescent="0.3">
      <c r="A39" s="1" t="s">
        <v>11</v>
      </c>
      <c r="B39">
        <v>0.15</v>
      </c>
      <c r="C39">
        <v>0</v>
      </c>
      <c r="D39">
        <v>0</v>
      </c>
      <c r="E39">
        <v>0</v>
      </c>
    </row>
    <row r="40" spans="1:5" x14ac:dyDescent="0.3">
      <c r="A40" s="1" t="s">
        <v>36</v>
      </c>
      <c r="B40">
        <v>0.15</v>
      </c>
      <c r="C40">
        <v>0</v>
      </c>
      <c r="D40">
        <v>0</v>
      </c>
      <c r="E40">
        <v>0</v>
      </c>
    </row>
    <row r="41" spans="1:5" ht="28.8" x14ac:dyDescent="0.3">
      <c r="A41" s="1" t="s">
        <v>37</v>
      </c>
      <c r="B41">
        <v>0.15</v>
      </c>
      <c r="C41">
        <v>0.15</v>
      </c>
      <c r="D41">
        <v>0</v>
      </c>
      <c r="E41">
        <v>0</v>
      </c>
    </row>
    <row r="42" spans="1:5" ht="28.8" x14ac:dyDescent="0.3">
      <c r="A42" s="1" t="s">
        <v>38</v>
      </c>
      <c r="B42">
        <v>0.15</v>
      </c>
      <c r="C42">
        <v>0</v>
      </c>
      <c r="D42">
        <v>0</v>
      </c>
      <c r="E42">
        <v>0</v>
      </c>
    </row>
    <row r="43" spans="1:5" x14ac:dyDescent="0.3">
      <c r="A43" s="1" t="s">
        <v>39</v>
      </c>
      <c r="B43">
        <v>0.15</v>
      </c>
      <c r="C43">
        <v>0</v>
      </c>
      <c r="D43">
        <v>0</v>
      </c>
      <c r="E43">
        <v>0</v>
      </c>
    </row>
    <row r="44" spans="1:5" x14ac:dyDescent="0.3">
      <c r="A44" s="2"/>
      <c r="B44" s="10">
        <f>SUM((B30,B33:B43))</f>
        <v>1.7999999999999996</v>
      </c>
      <c r="C44" s="6">
        <f>SUM(C33:C43,C30)</f>
        <v>0.9</v>
      </c>
      <c r="D44" s="6">
        <f>SUM(D33:D43,D30)</f>
        <v>0.44999999999999996</v>
      </c>
      <c r="E44" s="7">
        <f>SUM(E33:E43,E30)</f>
        <v>1.05</v>
      </c>
    </row>
    <row r="45" spans="1:5" x14ac:dyDescent="0.3">
      <c r="A45" s="1" t="s">
        <v>28</v>
      </c>
      <c r="B45">
        <f>SUM(B46:B47)</f>
        <v>0.1576923076923076</v>
      </c>
      <c r="C45">
        <f>SUM(C46:C47)</f>
        <v>0.1576923076923076</v>
      </c>
      <c r="D45">
        <f>SUM(D46:D47)</f>
        <v>0.1576923076923076</v>
      </c>
      <c r="E45">
        <f>SUM(E46:E47)</f>
        <v>0.1576923076923076</v>
      </c>
    </row>
    <row r="46" spans="1:5" x14ac:dyDescent="0.3">
      <c r="A46" s="1" t="s">
        <v>40</v>
      </c>
      <c r="B46">
        <v>7.8846153846153802E-2</v>
      </c>
      <c r="C46">
        <v>7.8846153846153802E-2</v>
      </c>
      <c r="D46">
        <v>7.8846153846153802E-2</v>
      </c>
      <c r="E46">
        <v>7.8846153846153802E-2</v>
      </c>
    </row>
    <row r="47" spans="1:5" x14ac:dyDescent="0.3">
      <c r="A47" s="1" t="s">
        <v>41</v>
      </c>
      <c r="B47">
        <v>7.8846153846153802E-2</v>
      </c>
      <c r="C47">
        <v>7.8846153846153802E-2</v>
      </c>
      <c r="D47">
        <v>7.8846153846153802E-2</v>
      </c>
      <c r="E47">
        <v>7.8846153846153802E-2</v>
      </c>
    </row>
    <row r="48" spans="1:5" x14ac:dyDescent="0.3">
      <c r="A48" s="1" t="s">
        <v>31</v>
      </c>
      <c r="B48">
        <v>0.15769230769230699</v>
      </c>
      <c r="C48">
        <v>0.15769230769230699</v>
      </c>
      <c r="D48">
        <v>0.15769230769230699</v>
      </c>
      <c r="E48">
        <v>0.15769230769230699</v>
      </c>
    </row>
    <row r="49" spans="1:26" x14ac:dyDescent="0.3">
      <c r="A49" s="1" t="s">
        <v>32</v>
      </c>
      <c r="B49">
        <v>0.15769230769230699</v>
      </c>
      <c r="C49">
        <v>0.15769230769230699</v>
      </c>
      <c r="D49">
        <v>0.15769230769230699</v>
      </c>
      <c r="E49">
        <v>0.15769230769230699</v>
      </c>
    </row>
    <row r="50" spans="1:26" x14ac:dyDescent="0.3">
      <c r="A50" s="1" t="s">
        <v>42</v>
      </c>
      <c r="B50">
        <v>0.15769230769230699</v>
      </c>
      <c r="C50">
        <v>0.11826923076923</v>
      </c>
      <c r="D50">
        <v>0</v>
      </c>
      <c r="E50">
        <v>0.15769230769230699</v>
      </c>
    </row>
    <row r="51" spans="1:26" x14ac:dyDescent="0.3">
      <c r="A51" s="1" t="s">
        <v>43</v>
      </c>
      <c r="B51">
        <v>0.15769230769230699</v>
      </c>
      <c r="C51">
        <v>0.15769230769230699</v>
      </c>
      <c r="D51">
        <v>0</v>
      </c>
      <c r="E51">
        <v>0.15769230769230699</v>
      </c>
    </row>
    <row r="52" spans="1:26" x14ac:dyDescent="0.3">
      <c r="A52" s="1" t="s">
        <v>44</v>
      </c>
      <c r="B52">
        <v>0.15769230769230699</v>
      </c>
      <c r="C52">
        <v>0.15769230769230699</v>
      </c>
      <c r="D52">
        <v>0</v>
      </c>
      <c r="E52">
        <v>0.15769230769230699</v>
      </c>
    </row>
    <row r="53" spans="1:26" ht="28.8" x14ac:dyDescent="0.3">
      <c r="A53" s="1" t="s">
        <v>45</v>
      </c>
      <c r="B53">
        <v>0.15769230769230699</v>
      </c>
      <c r="C53">
        <v>0.15769230769230699</v>
      </c>
      <c r="D53">
        <v>0</v>
      </c>
      <c r="E53">
        <v>0.15769230769230699</v>
      </c>
    </row>
    <row r="54" spans="1:26" x14ac:dyDescent="0.3">
      <c r="A54" s="1" t="s">
        <v>11</v>
      </c>
      <c r="B54">
        <v>0.15769230769230699</v>
      </c>
      <c r="C54">
        <v>0</v>
      </c>
      <c r="D54">
        <v>0</v>
      </c>
      <c r="E54">
        <v>0</v>
      </c>
    </row>
    <row r="55" spans="1:26" ht="28.8" x14ac:dyDescent="0.3">
      <c r="A55" s="1" t="s">
        <v>76</v>
      </c>
      <c r="B55">
        <v>0.15769230769230699</v>
      </c>
      <c r="C55">
        <v>0.15769230769230699</v>
      </c>
      <c r="D55">
        <v>0</v>
      </c>
      <c r="E55">
        <v>0</v>
      </c>
    </row>
    <row r="56" spans="1:26" x14ac:dyDescent="0.3">
      <c r="A56" s="1" t="s">
        <v>46</v>
      </c>
      <c r="B56">
        <v>0.15769230769230699</v>
      </c>
      <c r="C56">
        <v>0.15769230769230699</v>
      </c>
      <c r="D56">
        <v>0</v>
      </c>
      <c r="E56">
        <v>0</v>
      </c>
    </row>
    <row r="57" spans="1:26" x14ac:dyDescent="0.3">
      <c r="A57" s="1" t="s">
        <v>47</v>
      </c>
      <c r="B57">
        <v>0.15769230769230699</v>
      </c>
      <c r="C57">
        <v>0.15769230769230699</v>
      </c>
      <c r="D57">
        <v>0</v>
      </c>
      <c r="E57">
        <v>0</v>
      </c>
    </row>
    <row r="58" spans="1:26" x14ac:dyDescent="0.3">
      <c r="A58" s="1" t="s">
        <v>39</v>
      </c>
      <c r="B58">
        <v>0.15769230769230699</v>
      </c>
      <c r="C58">
        <v>0</v>
      </c>
      <c r="D58">
        <v>0</v>
      </c>
      <c r="E58">
        <v>0</v>
      </c>
    </row>
    <row r="59" spans="1:26" x14ac:dyDescent="0.3">
      <c r="A59" s="2"/>
      <c r="B59" s="10">
        <f>SUM(B45,B48:B58)</f>
        <v>1.8923076923076843</v>
      </c>
      <c r="C59" s="6">
        <f>SUM(C48:C58,C45)</f>
        <v>1.5374999999999934</v>
      </c>
      <c r="D59" s="6">
        <f>SUM(D48:D58,D45)</f>
        <v>0.47307692307692162</v>
      </c>
      <c r="E59" s="7">
        <f>SUM(E48:E58,E45)</f>
        <v>1.1038461538461497</v>
      </c>
    </row>
    <row r="60" spans="1:26" x14ac:dyDescent="0.3">
      <c r="A60" s="1" t="s">
        <v>28</v>
      </c>
      <c r="B60">
        <f>SUM(B61:B62)</f>
        <v>0.1277777777777778</v>
      </c>
      <c r="C60">
        <f>SUM(C61:C62)</f>
        <v>0.1277777777777778</v>
      </c>
      <c r="D60">
        <f>SUM(D61:D62)</f>
        <v>0</v>
      </c>
      <c r="E60">
        <f>SUM(E61:E62)</f>
        <v>0.1277777777777778</v>
      </c>
      <c r="Z60" t="s">
        <v>60</v>
      </c>
    </row>
    <row r="61" spans="1:26" x14ac:dyDescent="0.3">
      <c r="A61" s="1" t="s">
        <v>29</v>
      </c>
      <c r="B61">
        <v>6.3888888888888898E-2</v>
      </c>
      <c r="C61">
        <v>6.3888888888888898E-2</v>
      </c>
      <c r="D61">
        <v>0</v>
      </c>
      <c r="E61">
        <v>6.3888888888888898E-2</v>
      </c>
    </row>
    <row r="62" spans="1:26" x14ac:dyDescent="0.3">
      <c r="A62" s="1" t="s">
        <v>30</v>
      </c>
      <c r="B62">
        <v>6.3888888888888898E-2</v>
      </c>
      <c r="C62">
        <v>6.3888888888888898E-2</v>
      </c>
      <c r="D62">
        <v>0</v>
      </c>
      <c r="E62">
        <v>6.3888888888888898E-2</v>
      </c>
    </row>
    <row r="63" spans="1:26" x14ac:dyDescent="0.3">
      <c r="A63" s="1" t="s">
        <v>31</v>
      </c>
      <c r="B63">
        <v>0.12777777777777699</v>
      </c>
      <c r="C63">
        <v>0.12777777777777699</v>
      </c>
      <c r="D63">
        <v>0</v>
      </c>
      <c r="E63">
        <v>0.12777777777777699</v>
      </c>
    </row>
    <row r="64" spans="1:26" x14ac:dyDescent="0.3">
      <c r="A64" s="1" t="s">
        <v>48</v>
      </c>
      <c r="B64">
        <v>0.12777777777777699</v>
      </c>
      <c r="C64">
        <v>0.12777777777777699</v>
      </c>
      <c r="D64">
        <v>0</v>
      </c>
      <c r="E64">
        <v>0.12777777777777699</v>
      </c>
    </row>
    <row r="65" spans="1:5" x14ac:dyDescent="0.3">
      <c r="A65" s="1" t="s">
        <v>49</v>
      </c>
      <c r="B65">
        <v>0.12777777777777699</v>
      </c>
      <c r="C65">
        <v>0.12777777777777699</v>
      </c>
      <c r="D65">
        <v>0</v>
      </c>
      <c r="E65">
        <v>0.12777777777777699</v>
      </c>
    </row>
    <row r="66" spans="1:5" x14ac:dyDescent="0.3">
      <c r="A66" s="1" t="s">
        <v>50</v>
      </c>
      <c r="B66">
        <v>0.12777777777777699</v>
      </c>
      <c r="C66">
        <v>0.12777777777777699</v>
      </c>
      <c r="D66">
        <v>0</v>
      </c>
      <c r="E66">
        <v>0.12777777777777699</v>
      </c>
    </row>
    <row r="67" spans="1:5" x14ac:dyDescent="0.3">
      <c r="A67" s="1" t="s">
        <v>51</v>
      </c>
      <c r="B67">
        <v>0.12777777777777699</v>
      </c>
      <c r="C67">
        <v>0.12777777777777699</v>
      </c>
      <c r="D67">
        <v>0</v>
      </c>
      <c r="E67">
        <v>0.12777777777777699</v>
      </c>
    </row>
    <row r="68" spans="1:5" x14ac:dyDescent="0.3">
      <c r="A68" s="1" t="s">
        <v>52</v>
      </c>
      <c r="B68">
        <v>0.12777777777777699</v>
      </c>
      <c r="C68">
        <v>0.12777777777777699</v>
      </c>
      <c r="D68">
        <v>0</v>
      </c>
      <c r="E68">
        <v>0.12777777777777699</v>
      </c>
    </row>
    <row r="69" spans="1:5" x14ac:dyDescent="0.3">
      <c r="A69" s="1" t="s">
        <v>53</v>
      </c>
      <c r="B69">
        <v>0.12777777777777699</v>
      </c>
      <c r="C69">
        <v>0.12777777777777699</v>
      </c>
      <c r="D69">
        <v>0</v>
      </c>
      <c r="E69">
        <v>0.12777777777777699</v>
      </c>
    </row>
    <row r="70" spans="1:5" x14ac:dyDescent="0.3">
      <c r="A70" s="1" t="s">
        <v>54</v>
      </c>
      <c r="B70">
        <v>0.12777777777777699</v>
      </c>
      <c r="C70">
        <v>0.12777777777777699</v>
      </c>
      <c r="D70">
        <v>0</v>
      </c>
      <c r="E70">
        <v>0.12777777777777699</v>
      </c>
    </row>
    <row r="71" spans="1:5" x14ac:dyDescent="0.3">
      <c r="A71" s="1" t="s">
        <v>55</v>
      </c>
      <c r="B71">
        <v>0.12777777777777699</v>
      </c>
      <c r="C71">
        <v>0.12777777777777699</v>
      </c>
      <c r="D71">
        <v>0</v>
      </c>
      <c r="E71">
        <v>0.12777777777777699</v>
      </c>
    </row>
    <row r="72" spans="1:5" x14ac:dyDescent="0.3">
      <c r="A72" s="1" t="s">
        <v>56</v>
      </c>
      <c r="B72">
        <v>0.12777777777777699</v>
      </c>
      <c r="C72">
        <v>0.12777777777777699</v>
      </c>
      <c r="D72">
        <v>0</v>
      </c>
      <c r="E72">
        <v>0.12777777777777699</v>
      </c>
    </row>
    <row r="73" spans="1:5" x14ac:dyDescent="0.3">
      <c r="A73" s="1" t="s">
        <v>57</v>
      </c>
      <c r="B73">
        <v>0.12777777777777699</v>
      </c>
      <c r="C73">
        <v>0.12777777777777699</v>
      </c>
      <c r="D73">
        <v>0</v>
      </c>
      <c r="E73">
        <v>0.12777777777777699</v>
      </c>
    </row>
    <row r="74" spans="1:5" x14ac:dyDescent="0.3">
      <c r="A74" s="1" t="s">
        <v>11</v>
      </c>
      <c r="B74">
        <v>0.12777777777777699</v>
      </c>
      <c r="C74">
        <v>0</v>
      </c>
      <c r="D74">
        <v>0</v>
      </c>
      <c r="E74">
        <v>0</v>
      </c>
    </row>
    <row r="75" spans="1:5" x14ac:dyDescent="0.3">
      <c r="A75" s="1" t="s">
        <v>58</v>
      </c>
      <c r="B75">
        <v>0.12777777777777699</v>
      </c>
      <c r="C75">
        <v>0.12777777777777699</v>
      </c>
      <c r="D75">
        <v>0</v>
      </c>
      <c r="E75">
        <v>0</v>
      </c>
    </row>
    <row r="76" spans="1:5" x14ac:dyDescent="0.3">
      <c r="A76" s="1" t="s">
        <v>59</v>
      </c>
      <c r="B76">
        <v>0.12777777777777699</v>
      </c>
      <c r="C76">
        <v>6.3888888888888495E-2</v>
      </c>
      <c r="D76">
        <v>0</v>
      </c>
      <c r="E76">
        <v>0</v>
      </c>
    </row>
    <row r="77" spans="1:5" ht="28.8" x14ac:dyDescent="0.3">
      <c r="A77" s="1" t="s">
        <v>77</v>
      </c>
      <c r="B77">
        <v>0.12777777777777699</v>
      </c>
      <c r="C77">
        <v>0.12777777777777699</v>
      </c>
      <c r="D77">
        <v>0</v>
      </c>
      <c r="E77">
        <v>0</v>
      </c>
    </row>
    <row r="78" spans="1:5" x14ac:dyDescent="0.3">
      <c r="A78" s="1" t="s">
        <v>39</v>
      </c>
      <c r="B78">
        <v>0.12777777777777699</v>
      </c>
      <c r="C78">
        <v>0</v>
      </c>
      <c r="D78">
        <v>0</v>
      </c>
      <c r="E78">
        <v>0</v>
      </c>
    </row>
    <row r="79" spans="1:5" x14ac:dyDescent="0.3">
      <c r="A79" s="2"/>
      <c r="B79" s="10">
        <f>SUM(B63:B78,B60)</f>
        <v>2.1722222222222087</v>
      </c>
      <c r="C79" s="6">
        <f>SUM(C63:C78,C60)</f>
        <v>1.8527777777777668</v>
      </c>
      <c r="D79" s="8">
        <f>SUM(D63:D78,D60)</f>
        <v>0</v>
      </c>
      <c r="E79" s="7">
        <f>SUM(E63:E78,E60)</f>
        <v>1.5333333333333243</v>
      </c>
    </row>
    <row r="80" spans="1:5" x14ac:dyDescent="0.3">
      <c r="A80" s="1" t="s">
        <v>28</v>
      </c>
      <c r="B80">
        <f>SUM(B81:B82)</f>
        <v>0.1076923076923076</v>
      </c>
      <c r="C80">
        <v>0</v>
      </c>
      <c r="D80">
        <f>SUM(D81:D82)</f>
        <v>0</v>
      </c>
      <c r="E80">
        <f>SUM(E81:E82)</f>
        <v>0.1076923076923076</v>
      </c>
    </row>
    <row r="81" spans="1:5" x14ac:dyDescent="0.3">
      <c r="A81" s="1" t="s">
        <v>29</v>
      </c>
      <c r="B81">
        <v>5.3846153846153801E-2</v>
      </c>
      <c r="C81">
        <v>0</v>
      </c>
      <c r="D81">
        <v>0</v>
      </c>
      <c r="E81">
        <v>5.3846153846153801E-2</v>
      </c>
    </row>
    <row r="82" spans="1:5" x14ac:dyDescent="0.3">
      <c r="A82" s="1" t="s">
        <v>30</v>
      </c>
      <c r="B82">
        <v>5.3846153846153801E-2</v>
      </c>
      <c r="C82">
        <v>0</v>
      </c>
      <c r="D82">
        <v>0</v>
      </c>
      <c r="E82">
        <v>5.3846153846153801E-2</v>
      </c>
    </row>
    <row r="83" spans="1:5" x14ac:dyDescent="0.3">
      <c r="A83" s="1" t="s">
        <v>31</v>
      </c>
      <c r="B83">
        <v>0.107692307692307</v>
      </c>
      <c r="C83">
        <v>0</v>
      </c>
      <c r="D83">
        <v>0</v>
      </c>
      <c r="E83">
        <v>0.107692307692307</v>
      </c>
    </row>
    <row r="84" spans="1:5" x14ac:dyDescent="0.3">
      <c r="A84" s="1" t="s">
        <v>32</v>
      </c>
      <c r="B84">
        <v>0.107692307692307</v>
      </c>
      <c r="C84">
        <v>0</v>
      </c>
      <c r="D84">
        <v>0</v>
      </c>
      <c r="E84">
        <v>0.107692307692307</v>
      </c>
    </row>
    <row r="85" spans="1:5" x14ac:dyDescent="0.3">
      <c r="A85" s="1" t="s">
        <v>61</v>
      </c>
      <c r="B85">
        <v>0.107692307692307</v>
      </c>
      <c r="C85">
        <v>0</v>
      </c>
      <c r="D85">
        <v>0</v>
      </c>
      <c r="E85">
        <v>0.107692307692307</v>
      </c>
    </row>
    <row r="86" spans="1:5" x14ac:dyDescent="0.3">
      <c r="A86" s="1" t="s">
        <v>62</v>
      </c>
      <c r="B86">
        <v>0.107692307692307</v>
      </c>
      <c r="C86">
        <v>0</v>
      </c>
      <c r="D86">
        <v>0</v>
      </c>
      <c r="E86">
        <v>0.107692307692307</v>
      </c>
    </row>
    <row r="87" spans="1:5" x14ac:dyDescent="0.3">
      <c r="A87" s="1" t="s">
        <v>63</v>
      </c>
      <c r="B87">
        <v>0.107692307692307</v>
      </c>
      <c r="C87">
        <v>0</v>
      </c>
      <c r="D87">
        <v>0</v>
      </c>
      <c r="E87">
        <v>5.9829059829059001E-3</v>
      </c>
    </row>
    <row r="88" spans="1:5" x14ac:dyDescent="0.3">
      <c r="A88" s="1" t="s">
        <v>11</v>
      </c>
      <c r="B88">
        <v>0.107692307692307</v>
      </c>
      <c r="C88">
        <v>0</v>
      </c>
      <c r="D88">
        <v>0</v>
      </c>
      <c r="E88">
        <v>0</v>
      </c>
    </row>
    <row r="89" spans="1:5" ht="28.8" x14ac:dyDescent="0.3">
      <c r="A89" s="1" t="s">
        <v>64</v>
      </c>
      <c r="B89">
        <v>0.107692307692307</v>
      </c>
      <c r="C89">
        <v>0</v>
      </c>
      <c r="D89">
        <v>0</v>
      </c>
      <c r="E89">
        <v>0</v>
      </c>
    </row>
    <row r="90" spans="1:5" x14ac:dyDescent="0.3">
      <c r="A90" s="1" t="s">
        <v>65</v>
      </c>
      <c r="B90">
        <v>0.107692307692307</v>
      </c>
      <c r="C90">
        <v>0</v>
      </c>
      <c r="D90">
        <v>0</v>
      </c>
      <c r="E90">
        <v>0</v>
      </c>
    </row>
    <row r="91" spans="1:5" ht="57.6" x14ac:dyDescent="0.3">
      <c r="A91" s="1" t="s">
        <v>78</v>
      </c>
      <c r="B91">
        <v>0.107692307692307</v>
      </c>
      <c r="C91">
        <v>0</v>
      </c>
      <c r="D91">
        <v>0</v>
      </c>
      <c r="E91">
        <v>0</v>
      </c>
    </row>
    <row r="92" spans="1:5" x14ac:dyDescent="0.3">
      <c r="A92" s="1" t="s">
        <v>66</v>
      </c>
      <c r="B92">
        <v>0.107692307692307</v>
      </c>
      <c r="C92">
        <v>0</v>
      </c>
      <c r="D92">
        <v>0</v>
      </c>
      <c r="E92">
        <v>0</v>
      </c>
    </row>
    <row r="93" spans="1:5" x14ac:dyDescent="0.3">
      <c r="A93" s="2"/>
      <c r="B93" s="10">
        <f>SUM(B83:B92,B80)</f>
        <v>1.1846153846153775</v>
      </c>
      <c r="C93" s="6">
        <f>SUM(C80,C83:C92)</f>
        <v>0</v>
      </c>
      <c r="D93" s="6">
        <f>SUM(D80,D83:D92)</f>
        <v>0</v>
      </c>
      <c r="E93" s="7">
        <f>SUM(E83:E92,E80)</f>
        <v>0.54444444444444151</v>
      </c>
    </row>
    <row r="94" spans="1:5" ht="28.8" x14ac:dyDescent="0.3">
      <c r="A94" s="1" t="s">
        <v>67</v>
      </c>
      <c r="B94">
        <v>0.46250000000000002</v>
      </c>
      <c r="C94">
        <v>0.28152173913043399</v>
      </c>
      <c r="D94">
        <v>0.25</v>
      </c>
      <c r="E94">
        <v>0.32173913043478197</v>
      </c>
    </row>
    <row r="95" spans="1:5" ht="28.8" x14ac:dyDescent="0.3">
      <c r="A95" s="1" t="s">
        <v>68</v>
      </c>
      <c r="B95">
        <v>0.46250000000000002</v>
      </c>
      <c r="C95">
        <v>0.46250000000000002</v>
      </c>
      <c r="D95">
        <v>0.46250000000000002</v>
      </c>
      <c r="E95">
        <v>0.46250000000000002</v>
      </c>
    </row>
    <row r="96" spans="1:5" ht="28.8" x14ac:dyDescent="0.3">
      <c r="A96" s="1" t="s">
        <v>69</v>
      </c>
      <c r="B96">
        <v>0.46250000000000002</v>
      </c>
      <c r="C96">
        <v>0.46250000000000002</v>
      </c>
      <c r="D96">
        <v>0.46250000000000002</v>
      </c>
      <c r="E96">
        <v>0</v>
      </c>
    </row>
    <row r="97" spans="1:5" x14ac:dyDescent="0.3">
      <c r="A97" s="1" t="s">
        <v>70</v>
      </c>
      <c r="B97">
        <v>0.46250000000000002</v>
      </c>
      <c r="C97">
        <v>0.32</v>
      </c>
      <c r="D97">
        <v>0.32</v>
      </c>
      <c r="E97">
        <v>0.34687499999999999</v>
      </c>
    </row>
    <row r="98" spans="1:5" x14ac:dyDescent="0.3">
      <c r="A98" s="2"/>
      <c r="B98" s="11">
        <f>SUM(B94:B97)</f>
        <v>1.85</v>
      </c>
      <c r="C98" s="6">
        <f>SUM(C94:C97)</f>
        <v>1.5265217391304342</v>
      </c>
      <c r="D98" s="6">
        <f>SUM(D94:D97)</f>
        <v>1.4950000000000001</v>
      </c>
      <c r="E98" s="7">
        <f>SUM(E94:E97)</f>
        <v>1.131114130434782</v>
      </c>
    </row>
    <row r="99" spans="1:5" x14ac:dyDescent="0.3">
      <c r="A99" s="1" t="s">
        <v>71</v>
      </c>
      <c r="B99">
        <v>0.5</v>
      </c>
      <c r="C99">
        <v>0.45</v>
      </c>
      <c r="D99">
        <v>0.35</v>
      </c>
      <c r="E99">
        <v>0.5</v>
      </c>
    </row>
    <row r="100" spans="1:5" x14ac:dyDescent="0.3">
      <c r="A100" s="1" t="s">
        <v>72</v>
      </c>
      <c r="B100">
        <v>0.5</v>
      </c>
      <c r="C100">
        <v>0.3</v>
      </c>
      <c r="D100">
        <v>0.3</v>
      </c>
      <c r="E100">
        <v>0.5</v>
      </c>
    </row>
    <row r="101" spans="1:5" x14ac:dyDescent="0.3">
      <c r="A101" s="1" t="s">
        <v>73</v>
      </c>
      <c r="B101">
        <v>0.5</v>
      </c>
      <c r="C101">
        <v>0</v>
      </c>
      <c r="D101">
        <v>0</v>
      </c>
      <c r="E101">
        <v>0</v>
      </c>
    </row>
    <row r="102" spans="1:5" x14ac:dyDescent="0.3">
      <c r="A102" s="1" t="s">
        <v>74</v>
      </c>
      <c r="B102">
        <v>0.5</v>
      </c>
      <c r="C102">
        <v>0.25</v>
      </c>
      <c r="D102">
        <v>0.25</v>
      </c>
      <c r="E102">
        <v>0</v>
      </c>
    </row>
    <row r="103" spans="1:5" x14ac:dyDescent="0.3">
      <c r="A103" s="2"/>
      <c r="B103" s="10">
        <f>SUM(B99:B102)</f>
        <v>2</v>
      </c>
      <c r="C103" s="6">
        <f>SUM(C99:C102)</f>
        <v>1</v>
      </c>
      <c r="D103" s="6">
        <f>SUM(D99:D102)</f>
        <v>0.89999999999999991</v>
      </c>
      <c r="E103" s="7">
        <f>SUM(E99:E102)</f>
        <v>1</v>
      </c>
    </row>
    <row r="104" spans="1:5" x14ac:dyDescent="0.3">
      <c r="B104" s="12" t="s">
        <v>79</v>
      </c>
      <c r="C104" s="12"/>
      <c r="D104" s="12"/>
      <c r="E104" s="12"/>
    </row>
    <row r="105" spans="1:5" x14ac:dyDescent="0.3">
      <c r="B105">
        <f>SUM(B103,B98,B93,B79,B59,B44,B29,B19,B7)</f>
        <v>14.299145299145259</v>
      </c>
      <c r="C105">
        <f>SUM(C103,C98,C93,C79,C59,C44,C29,C19,C7)</f>
        <v>9.06730456741324</v>
      </c>
      <c r="D105">
        <f>SUM(D103,D98,D93,D79,D59,D44,D29,D19,D7)</f>
        <v>4.6375718725718666</v>
      </c>
      <c r="E105">
        <f>SUM(E103,E98,E93,E79,E59,E44,E19,E7,E29)</f>
        <v>8.4831421024627343</v>
      </c>
    </row>
  </sheetData>
  <mergeCells count="1">
    <mergeCell ref="B104:E104"/>
  </mergeCells>
  <phoneticPr fontId="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Wellington Fabio de Oliveira Martins</dc:creator>
  <cp:lastModifiedBy>Wellington Fabio de Oliveira Martins</cp:lastModifiedBy>
  <dcterms:created xsi:type="dcterms:W3CDTF">2026-04-14T16:48:36Z</dcterms:created>
  <dcterms:modified xsi:type="dcterms:W3CDTF">2026-04-15T10:31:18Z</dcterms:modified>
</cp:coreProperties>
</file>